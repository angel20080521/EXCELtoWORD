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Sheet1!$A$1:$P$13</definedName>
  </definedNames>
  <calcPr calcId="191029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<sst xmlns="http://schemas.openxmlformats.org/spreadsheetml/2006/main" count="48" uniqueCount="45">
  <si>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亚信虚拟化杀毒软件续保</t>
  </si>
  <si>
    <t>报价单</t>
  </si>
  <si>
    <t>上海理想信息产业（集团）有限公司</t>
  </si>
  <si>
    <t>日期：</t>
  </si>
  <si>
    <t>客户名称：</t>
  </si>
  <si>
    <t>前卫实业</t>
  </si>
  <si>
    <t>联系人：</t>
  </si>
  <si>
    <t>葛经理</t>
  </si>
  <si>
    <t>收款方式：</t>
  </si>
  <si>
    <t>现付  -</t>
  </si>
  <si>
    <t>报价单号码：</t>
  </si>
  <si>
    <t>客户地址：</t>
  </si>
  <si>
    <t>电话号码：</t>
  </si>
  <si>
    <t>发票类型：</t>
  </si>
  <si>
    <t>增值税-专用发票</t>
  </si>
  <si>
    <t>我方销售代表：</t>
  </si>
  <si>
    <t>送货地址：</t>
  </si>
  <si>
    <t>传真号码：</t>
  </si>
  <si>
    <t>报价有效期：</t>
  </si>
  <si>
    <t>销售代表手机：</t>
  </si>
  <si>
    <t>编号</t>
  </si>
  <si>
    <t>商品种类</t>
  </si>
  <si>
    <t>商品名称</t>
  </si>
  <si>
    <t>产品描述</t>
  </si>
  <si>
    <t>数量</t>
  </si>
  <si>
    <t>单位</t>
  </si>
  <si>
    <t>单价（含税）</t>
  </si>
  <si>
    <t>单价（未税）</t>
  </si>
  <si>
    <t>税率</t>
  </si>
  <si>
    <t>金额(未税)</t>
  </si>
  <si>
    <t>税额</t>
  </si>
  <si>
    <t>金额(含税）</t>
  </si>
  <si>
    <t>软硬件商品</t>
  </si>
  <si>
    <t>虚拟机防护</t>
  </si>
  <si>
    <t>Deep Security Manager Entry-per console控制台一年
（2026-6-1至2027-5-31）</t>
  </si>
  <si>
    <t>台</t>
  </si>
  <si>
    <t>13%</t>
  </si>
  <si>
    <t>Deep Security  CPU 版－无代理模块：防病毒＋深度包检测＋完整性监控 一年
（2026-6-1至2027-5-31）</t>
  </si>
  <si>
    <t>套</t>
  </si>
  <si>
    <t>安装调试服务</t>
  </si>
  <si>
    <t>部署实施服务费</t>
  </si>
  <si>
    <t>工程师现场实施服务费</t>
  </si>
  <si>
    <t>人工</t>
  </si>
  <si>
    <t>未税合计</t>
  </si>
  <si>
    <t>含税合计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</si>
</sst>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0&quot;天&quot;"/>
    <numFmt numFmtId="179" formatCode="00"/>
    <numFmt numFmtId="180" formatCode="&quot;￥&quot;#,##0.00_);[Red]\(&quot;￥&quot;#,##0.00\)"/>
    <numFmt numFmtId="181" formatCode="_ \¥* #,##0.00_ ;_ \¥* \-#,##0.00_ ;_ \¥* &quot;-&quot;??_ ;_ @_ "/>
  </numFmts>
  <fonts count="32">
    <font>
      <sz val="12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color indexed="22"/>
      <name val="宋体"/>
      <charset val="134"/>
    </font>
    <font>
      <sz val="9"/>
      <color indexed="22"/>
      <name val="宋体"/>
      <charset val="134"/>
    </font>
    <font>
      <sz val="9"/>
      <color rgb="FF0000FF"/>
      <name val="宋体"/>
      <charset val="134"/>
    </font>
    <font>
      <u/>
      <sz val="9"/>
      <color indexed="12"/>
      <name val="宋体"/>
      <charset val="134"/>
    </font>
    <font>
      <sz val="10"/>
      <color indexed="2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</cellStyleXfs>
  <cellXfs count="4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6" applyFont="1" applyFill="1" applyBorder="1" applyAlignment="1" applyProtection="1">
      <alignment horizontal="center" vertical="center"/>
      <protection locked="0"/>
    </xf>
    <xf numFmtId="0" fontId="8" fillId="0" borderId="0" xfId="6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center" vertical="center"/>
      <protection locked="0"/>
    </xf>
    <xf numFmtId="181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right" vertical="center"/>
      <protection locked="0"/>
    </xf>
    <xf numFmtId="181" fontId="3" fillId="2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 applyProtection="1">
      <alignment horizontal="center" vertical="center"/>
      <protection locked="0"/>
    </xf>
    <xf numFmtId="180" fontId="10" fillId="0" borderId="1" xfId="0" applyNumberFormat="1" applyFont="1" applyBorder="1" applyAlignment="1" applyProtection="1">
      <alignment horizontal="center" vertical="center" wrapText="1"/>
      <protection locked="0"/>
    </xf>
    <xf numFmtId="180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80" fontId="10" fillId="0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right" vertical="center"/>
    </xf>
    <xf numFmtId="180" fontId="10" fillId="2" borderId="1" xfId="0" applyNumberFormat="1" applyFont="1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selection activeCell="H16" sqref="H16"/>
    </sheetView>
  </sheetViews>
  <sheetFormatPr defaultColWidth="9" defaultRowHeight="14.25"/>
  <cols>
    <col min="1" max="1" width="4.625" customWidth="1"/>
    <col min="2" max="2" width="15.4166666666667" customWidth="1"/>
    <col min="3" max="3" width="12.5" customWidth="1"/>
    <col min="4" max="4" width="23.75" customWidth="1"/>
    <col min="5" max="5" width="12.375" customWidth="1"/>
    <col min="6" max="6" width="7.125" customWidth="1"/>
    <col min="7" max="7" width="10" customWidth="1"/>
    <col min="8" max="8" width="11.25" customWidth="1"/>
    <col min="9" max="9" width="6.625" customWidth="1"/>
    <col min="10" max="10" width="12" customWidth="1"/>
    <col min="11" max="11" width="11" customWidth="1"/>
    <col min="12" max="12" width="13.5" customWidth="1"/>
    <col min="13" max="13" width="4.625" customWidth="1"/>
    <col min="14" max="14" width="12.125" customWidth="1"/>
    <col min="15" max="15" width="11" customWidth="1"/>
    <col min="16" max="16" width="14.875" customWidth="1"/>
  </cols>
  <sheetData>
    <row r="1" ht="20.25" spans="1:2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20.25" spans="1:2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 s="2" customFormat="1" ht="11.25" spans="1:23">
      <c r="A3" s="6" t="s">
        <v>2</v>
      </c>
      <c r="B3" s="6"/>
      <c r="C3" s="6"/>
      <c r="D3" s="6"/>
      <c r="E3" s="6"/>
      <c r="F3" s="6"/>
      <c r="G3" s="6"/>
      <c r="H3" s="6"/>
      <c r="I3" s="7"/>
      <c r="K3" s="7" t="s">
        <v>3</v>
      </c>
      <c r="L3" s="8">
        <v>46111</v>
      </c>
      <c r="M3" s="9"/>
      <c r="N3" s="9"/>
      <c r="O3" s="9"/>
      <c r="P3" s="9"/>
      <c r="Q3" s="9"/>
      <c r="R3" s="9"/>
      <c r="S3" s="9"/>
    </row>
    <row r="4" s="2" customFormat="1" ht="11.25" spans="1:2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9"/>
      <c r="R4" s="9"/>
      <c r="S4" s="9"/>
      <c r="T4" s="9"/>
      <c r="U4" s="9"/>
      <c r="V4" s="9"/>
      <c r="W4" s="9"/>
    </row>
    <row r="5" s="2" customFormat="1" ht="11.25" spans="1:23">
      <c r="A5" s="6" t="s">
        <v>4</v>
      </c>
      <c r="B5" s="6"/>
      <c r="C5" s="10" t="s">
        <v>5</v>
      </c>
      <c r="D5" s="11"/>
      <c r="E5" s="2" t="s">
        <v>6</v>
      </c>
      <c r="F5" s="12" t="s">
        <v>7</v>
      </c>
      <c r="G5" s="2" t="s">
        <v>8</v>
      </c>
      <c r="H5" s="13" t="s">
        <v>9</v>
      </c>
      <c r="I5" s="14"/>
      <c r="J5" s="2" t="s">
        <v>10</v>
      </c>
      <c r="L5" s="14"/>
      <c r="M5" s="9"/>
      <c r="N5" s="9"/>
      <c r="O5" s="9"/>
      <c r="P5" s="9"/>
      <c r="Q5" s="9"/>
      <c r="R5" s="9"/>
      <c r="S5" s="9"/>
    </row>
    <row r="6" s="2" customFormat="1" ht="11.25" spans="1:23">
      <c r="A6" s="6" t="s">
        <v>11</v>
      </c>
      <c r="B6" s="6"/>
      <c r="C6" s="13"/>
      <c r="D6" s="13"/>
      <c r="E6" s="2" t="s">
        <v>12</v>
      </c>
      <c r="F6" s="15"/>
      <c r="G6" s="2" t="s">
        <v>13</v>
      </c>
      <c r="H6" s="13" t="s">
        <v>14</v>
      </c>
      <c r="I6" s="12"/>
      <c r="J6" s="2" t="s">
        <v>15</v>
      </c>
      <c r="L6" s="14"/>
      <c r="M6" s="9"/>
      <c r="N6" s="9"/>
      <c r="O6" s="9"/>
      <c r="P6" s="9"/>
      <c r="Q6" s="9"/>
      <c r="R6" s="9"/>
      <c r="S6" s="9"/>
    </row>
    <row r="7" s="2" customFormat="1" ht="11.25" spans="1:23">
      <c r="A7" s="6" t="s">
        <v>16</v>
      </c>
      <c r="B7" s="6"/>
      <c r="C7" s="13"/>
      <c r="D7" s="13"/>
      <c r="E7" s="2" t="s">
        <v>17</v>
      </c>
      <c r="F7" s="15"/>
      <c r="G7" s="2" t="s">
        <v>18</v>
      </c>
      <c r="H7" s="16">
        <v>14</v>
      </c>
      <c r="I7" s="12"/>
      <c r="J7" s="17" t="s">
        <v>19</v>
      </c>
      <c r="K7" s="17"/>
      <c r="L7" s="18"/>
      <c r="M7" s="9"/>
      <c r="N7" s="9"/>
      <c r="O7" s="9"/>
      <c r="P7" s="9"/>
      <c r="Q7" s="9"/>
      <c r="R7" s="9"/>
      <c r="S7" s="9"/>
    </row>
    <row r="8" s="2" customFormat="1" ht="11.25" spans="1:23">
      <c r="Q8" s="9"/>
      <c r="R8" s="9"/>
      <c r="S8" s="9"/>
      <c r="T8" s="9"/>
      <c r="U8" s="9"/>
      <c r="V8" s="9"/>
      <c r="W8" s="9"/>
    </row>
    <row r="9" s="3" customFormat="1" ht="25" customHeight="1" spans="1:23">
      <c r="A9" s="19" t="s">
        <v>20</v>
      </c>
      <c r="B9" s="20" t="s">
        <v>21</v>
      </c>
      <c r="C9" s="20" t="s">
        <v>22</v>
      </c>
      <c r="D9" s="20" t="s">
        <v>23</v>
      </c>
      <c r="E9" s="20" t="s">
        <v>24</v>
      </c>
      <c r="F9" s="20" t="s">
        <v>25</v>
      </c>
      <c r="G9" s="20" t="s">
        <v>26</v>
      </c>
      <c r="H9" s="20" t="s">
        <v>27</v>
      </c>
      <c r="I9" s="20" t="s">
        <v>28</v>
      </c>
      <c r="J9" s="20" t="s">
        <v>29</v>
      </c>
      <c r="K9" s="20" t="s">
        <v>30</v>
      </c>
      <c r="L9" s="20" t="s">
        <v>31</v>
      </c>
      <c r="M9" s="21"/>
      <c r="N9" s="21"/>
      <c r="O9" s="21"/>
      <c r="P9" s="21"/>
      <c r="Q9" s="21"/>
      <c r="R9" s="21"/>
      <c r="S9" s="21"/>
    </row>
    <row r="10" s="3" customFormat="1" ht="39" customHeight="1" spans="1:23">
      <c r="A10" s="22">
        <v>1</v>
      </c>
      <c r="B10" s="23" t="s">
        <v>32</v>
      </c>
      <c r="C10" s="23" t="s">
        <v>33</v>
      </c>
      <c r="D10" s="24" t="s">
        <v>34</v>
      </c>
      <c r="E10" s="25">
        <v>1</v>
      </c>
      <c r="F10" s="26" t="s">
        <v>35</v>
      </c>
      <c r="G10" s="27">
        <v>7040</v>
      </c>
      <c r="H10" s="28">
        <f>G10/(1+I10)</f>
        <v>6230.08849557522</v>
      </c>
      <c r="I10" s="29" t="s">
        <v>36</v>
      </c>
      <c r="J10" s="30">
        <f>H10*E10</f>
        <v>6230.08849557522</v>
      </c>
      <c r="K10" s="30">
        <f>J10*I10</f>
        <v>809.911504424779</v>
      </c>
      <c r="L10" s="31">
        <f>H10*E10*(1+I10)</f>
        <v>7040</v>
      </c>
      <c r="M10" s="21"/>
      <c r="N10" s="21"/>
      <c r="O10" s="21"/>
      <c r="P10" s="21"/>
      <c r="Q10" s="21"/>
      <c r="R10" s="21"/>
      <c r="S10" s="21"/>
    </row>
    <row r="11" s="3" customFormat="1" ht="50" customHeight="1" spans="1:23">
      <c r="A11" s="22">
        <v>2</v>
      </c>
      <c r="B11" s="23" t="s">
        <v>32</v>
      </c>
      <c r="C11" s="23" t="s">
        <v>33</v>
      </c>
      <c r="D11" s="24" t="s">
        <v>37</v>
      </c>
      <c r="E11" s="25">
        <v>4</v>
      </c>
      <c r="F11" s="26" t="s">
        <v>38</v>
      </c>
      <c r="G11" s="27">
        <v>5800</v>
      </c>
      <c r="H11" s="28">
        <f>G11/(1+I11)</f>
        <v>5132.74336283186</v>
      </c>
      <c r="I11" s="32">
        <v>0.13</v>
      </c>
      <c r="J11" s="30">
        <f>H11*E11</f>
        <v>20530.9734513274</v>
      </c>
      <c r="K11" s="30">
        <f>J11*I11</f>
        <v>2669.02654867257</v>
      </c>
      <c r="L11" s="31">
        <f>H11*E11*(1+I11)</f>
        <v>23200</v>
      </c>
      <c r="M11" s="21"/>
      <c r="N11" s="21"/>
      <c r="O11" s="21"/>
      <c r="P11" s="21"/>
      <c r="Q11" s="21"/>
      <c r="R11" s="21"/>
      <c r="S11" s="21"/>
    </row>
    <row r="12" s="3" customFormat="1" ht="24" customHeight="1" spans="1:23">
      <c r="A12" s="22">
        <v>3</v>
      </c>
      <c r="B12" s="23" t="s">
        <v>39</v>
      </c>
      <c r="C12" s="23" t="s">
        <v>40</v>
      </c>
      <c r="D12" s="23" t="s">
        <v>41</v>
      </c>
      <c r="E12" s="25">
        <v>1</v>
      </c>
      <c r="F12" s="26" t="s">
        <v>42</v>
      </c>
      <c r="G12" s="27">
        <v>2000</v>
      </c>
      <c r="H12" s="28">
        <f>G12/(1+I12)</f>
        <v>1886.79245283019</v>
      </c>
      <c r="I12" s="32">
        <v>0.06</v>
      </c>
      <c r="J12" s="30">
        <f>H12*E12</f>
        <v>1886.79245283019</v>
      </c>
      <c r="K12" s="30">
        <f>J12*I12</f>
        <v>113.207547169811</v>
      </c>
      <c r="L12" s="31">
        <f>H12*E12*(1+I12)</f>
        <v>2000</v>
      </c>
      <c r="M12" s="21"/>
      <c r="N12" s="21"/>
      <c r="O12" s="21"/>
      <c r="P12" s="21"/>
      <c r="Q12" s="21"/>
      <c r="R12" s="21"/>
      <c r="S12" s="21"/>
    </row>
    <row r="13" ht="35" customHeight="1" spans="1:23">
      <c r="A13" s="33" t="s">
        <v>43</v>
      </c>
      <c r="B13" s="33"/>
      <c r="C13" s="33"/>
      <c r="D13" s="34">
        <f>SUM(J10:J12)</f>
        <v>28647.8543997328</v>
      </c>
      <c r="E13" s="34"/>
      <c r="F13" s="35"/>
      <c r="G13" s="35"/>
      <c r="H13" s="35"/>
      <c r="I13" s="36" t="s">
        <v>30</v>
      </c>
      <c r="J13" s="37">
        <f>L13-D13</f>
        <v>3592.14560026715</v>
      </c>
      <c r="K13" s="38" t="s">
        <v>44</v>
      </c>
      <c r="L13" s="39">
        <f>SUM(L10:L12)</f>
        <v>32240</v>
      </c>
    </row>
  </sheetData>
  <sheetProtection selectLockedCells="1"/>
  <mergeCells count="10">
    <mergeCell ref="A1:P1"/>
    <mergeCell ref="A2:P2"/>
    <mergeCell ref="A3:H3"/>
    <mergeCell ref="A5:B5"/>
    <mergeCell ref="C5:D5"/>
    <mergeCell ref="A6:B6"/>
    <mergeCell ref="C6:D6"/>
    <mergeCell ref="A7:B7"/>
    <mergeCell ref="C7:D7"/>
    <mergeCell ref="A13:C13"/>
  </mergeCells>
  <dataValidations count="6">
    <dataValidation type="list" allowBlank="1" showInputMessage="1" showErrorMessage="1" sqref="H5">
      <formula1>"现付  -,月结  -,季结  -,未定  -"</formula1>
    </dataValidation>
    <dataValidation type="list" allowBlank="1" showInputMessage="1" showErrorMessage="1" sqref="I5">
      <formula1>"现金,支票,银行划帐"</formula1>
    </dataValidation>
    <dataValidation type="list" allowBlank="1" showInputMessage="1" showErrorMessage="1" sqref="H6">
      <formula1>"增值税-普通发票,增值税-专用发票"</formula1>
    </dataValidation>
    <dataValidation type="whole" operator="between" allowBlank="1" showInputMessage="1" showErrorMessage="1" prompt="有效期大于1天小于30天" sqref="H7">
      <formula1>1</formula1>
      <formula2>30</formula2>
    </dataValidation>
    <dataValidation type="textLength" operator="equal" allowBlank="1" showInputMessage="1" showErrorMessage="1" sqref="L7">
      <formula1>11</formula1>
    </dataValidation>
    <dataValidation type="textLength" operator="equal" allowBlank="1" showInputMessage="1" showErrorMessage="1" sqref="F6:F7">
      <formula1>8</formula1>
    </dataValidation>
  </dataValidations>
  <pageMargins left="0.432638888888889" right="0.236111111111111" top="0.590277777777778" bottom="0.354166666666667" header="0.314583333333333" footer="0.196527777777778"/>
  <pageSetup paperSize="9" scale="75" orientation="portrait"/>
  <headerFooter alignWithMargins="0"/>
  <ignoredErrors>
    <ignoredError sqref="E10:G10" numberStoredAsText="1"/>
    <ignoredError sqref="H10:I10" numberStoredAsText="1" unlockedFormula="1"/>
    <ignoredError sqref="J10:K12 H11:H12 D1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·Angie 酱</cp:lastModifiedBy>
  <dcterms:created xsi:type="dcterms:W3CDTF">2006-02-11T14:13:00Z</dcterms:created>
  <cp:lastPrinted>2006-02-14T16:02:00Z</cp:lastPrinted>
  <dcterms:modified xsi:type="dcterms:W3CDTF">2026-04-02T13:17:30Z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FEB32B6CE7534FF5B4558093C019BF07_13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